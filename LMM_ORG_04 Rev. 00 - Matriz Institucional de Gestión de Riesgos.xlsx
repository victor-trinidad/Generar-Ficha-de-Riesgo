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rinidadv\Desktop\Auditoria Interna y O&amp;M\02- Organización y Metodos\03 - Proyectos para Documentación\01 - Para Revisión\POL_ORG_02 - Política Institucional de Gestión de Riesgos\"/>
    </mc:Choice>
  </mc:AlternateContent>
  <xr:revisionPtr revIDLastSave="0" documentId="13_ncr:1_{15BA6927-5540-4CE6-B5E8-78B01DCB0493}" xr6:coauthVersionLast="47" xr6:coauthVersionMax="47" xr10:uidLastSave="{00000000-0000-0000-0000-000000000000}"/>
  <bookViews>
    <workbookView xWindow="-120" yWindow="-120" windowWidth="20730" windowHeight="11160" tabRatio="673" xr2:uid="{00000000-000D-0000-FFFF-FFFF00000000}"/>
  </bookViews>
  <sheets>
    <sheet name="LMM_ORG_04" sheetId="2" r:id="rId1"/>
  </sheets>
  <definedNames>
    <definedName name="_xlnm._FilterDatabase" localSheetId="0" hidden="1">LMM_ORG_04!$B$17:$P$42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2" l="1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</calcChain>
</file>

<file path=xl/sharedStrings.xml><?xml version="1.0" encoding="utf-8"?>
<sst xmlns="http://schemas.openxmlformats.org/spreadsheetml/2006/main" count="205" uniqueCount="141">
  <si>
    <t>Riesgo moderado</t>
  </si>
  <si>
    <t>Riesgo tolerable</t>
  </si>
  <si>
    <t>Riesgo leve</t>
  </si>
  <si>
    <t>Rev.:</t>
  </si>
  <si>
    <t>Vigencia:</t>
  </si>
  <si>
    <t>Paginas:</t>
  </si>
  <si>
    <t>00</t>
  </si>
  <si>
    <t>1 - 1</t>
  </si>
  <si>
    <t>N.º</t>
  </si>
  <si>
    <t>Código</t>
  </si>
  <si>
    <t>LMM_ORG_04</t>
  </si>
  <si>
    <t>00/00/2025</t>
  </si>
  <si>
    <t>LISTADO MAESTRO O MATRIZ</t>
  </si>
  <si>
    <t>Escala de Riesgo</t>
  </si>
  <si>
    <t>Riesgo alto</t>
  </si>
  <si>
    <t>Riesgo muy alto</t>
  </si>
  <si>
    <t>-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</si>
  <si>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</si>
  <si>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</si>
  <si>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</si>
  <si>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</si>
  <si>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</si>
  <si>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</si>
  <si>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</si>
  <si>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</si>
  <si>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</si>
  <si>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</si>
  <si>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</si>
  <si>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</si>
  <si>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</si>
  <si>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(P) Probabilidad</t>
  </si>
  <si>
    <t>(G) Gravedad</t>
  </si>
  <si>
    <t>(PxG) Nivel de Riesgo</t>
  </si>
  <si>
    <t>(P)</t>
  </si>
  <si>
    <t>(G)</t>
  </si>
  <si>
    <t>Efecto</t>
  </si>
  <si>
    <t>R-014</t>
  </si>
  <si>
    <t>R-015</t>
  </si>
  <si>
    <t>R-016</t>
  </si>
  <si>
    <t>1) - IDENTIFICACIÓN DEL RIESGO</t>
  </si>
  <si>
    <t>2) - ANÁLISIS DEL RIESGO</t>
  </si>
  <si>
    <t>3) - EVALUACIÓN DEL RIESGO</t>
  </si>
  <si>
    <t>Fecha de Identificación</t>
  </si>
  <si>
    <t>Ultima Revisión</t>
  </si>
  <si>
    <t>Efectivo</t>
  </si>
  <si>
    <t>Requiere Mejora</t>
  </si>
  <si>
    <t>Inefectivo</t>
  </si>
  <si>
    <t>Administrativos y Financieros</t>
  </si>
  <si>
    <t>Presidencia</t>
  </si>
  <si>
    <t>Directorio</t>
  </si>
  <si>
    <t>Ventas</t>
  </si>
  <si>
    <t>Promoción Medica</t>
  </si>
  <si>
    <t>Licitaciones</t>
  </si>
  <si>
    <t>Comercio Exterior y Nuevos Negocios</t>
  </si>
  <si>
    <t>Marketing</t>
  </si>
  <si>
    <t>Dirección Técnica</t>
  </si>
  <si>
    <t>Garantía de Calidad</t>
  </si>
  <si>
    <t>Farmacovigilancia</t>
  </si>
  <si>
    <t>Recursos Humanos</t>
  </si>
  <si>
    <t>Informática</t>
  </si>
  <si>
    <t>Auditoría Interna y O&amp;M</t>
  </si>
  <si>
    <t>Generales</t>
  </si>
  <si>
    <t>Facturación</t>
  </si>
  <si>
    <t>Cuentas Corrientes</t>
  </si>
  <si>
    <t>Tesorería</t>
  </si>
  <si>
    <t>Contabilidad</t>
  </si>
  <si>
    <t>Planificación y Presupuesto</t>
  </si>
  <si>
    <t>Compras</t>
  </si>
  <si>
    <t>Administración y Finanzas</t>
  </si>
  <si>
    <t>Vigilancia</t>
  </si>
  <si>
    <t>Mantenimiento</t>
  </si>
  <si>
    <t>Logística</t>
  </si>
  <si>
    <t>Depósito de Productos Terminados</t>
  </si>
  <si>
    <t>(PxG)</t>
  </si>
  <si>
    <t>Logístico / Operativo</t>
  </si>
  <si>
    <t>MATRIZ INSTITUCIONAL DE GESTIÓN DE RIESGOS</t>
  </si>
  <si>
    <t>Entorno de Control</t>
  </si>
  <si>
    <t>5) - SEGUIMIENTO DE VERSIONES</t>
  </si>
  <si>
    <t>4) - SEGUIMIENTO DEL RIESGO</t>
  </si>
  <si>
    <t>Tipo de Control</t>
  </si>
  <si>
    <t>Actividades Promocionales y Marketing Ético</t>
  </si>
  <si>
    <t>Gestión Comercial y Transparencia de Valor</t>
  </si>
  <si>
    <t>Gestión de Recursos Humanos y Cultura Ética</t>
  </si>
  <si>
    <t>Garantía de Calidad y Buenas Prácticas</t>
  </si>
  <si>
    <t>Auditoria Interna y Cumplimiento Corporativo</t>
  </si>
  <si>
    <t>Tecnología y Seguridad de la Información</t>
  </si>
  <si>
    <t>Versión</t>
  </si>
  <si>
    <t>Ver. 01</t>
  </si>
  <si>
    <t>Implementado</t>
  </si>
  <si>
    <t>En verificación</t>
  </si>
  <si>
    <t>Pendiente de validación</t>
  </si>
  <si>
    <t>Inefectivo / Requiere Mejora</t>
  </si>
  <si>
    <t>Errores en la manipulación dentro de la precámara, demoras en preparación o fallas en el proceso pueden exponer al producto a temperaturas fuera de rango, afectando su calidad y estabilidad.</t>
  </si>
  <si>
    <t>Si los PCM o geles no se preacondicionan 48h a las temperaturas correctas (-20°C o +5°C), la autonomía térmica del contenedor disminuye significativamente, elevando el riesgo de pérdida de cadena de frío.</t>
  </si>
  <si>
    <t>Un datalogger defectuoso (batería agotada, configuración incorrecta o daño físico) impide verificar la temperatura real del envío, comprometiendo la evidencia de cumplimiento.</t>
  </si>
  <si>
    <t>Variaciones térmicas durante el transporte, fallas del móvil o exposición prolongada al calor pueden elevar la temperatura del producto y afectar su estabilidad.</t>
  </si>
  <si>
    <t>El uso de PCM vencidos, placas dañadas o contenedores deteriorados afecta la capacidad térmica y puede comprometer la protección del producto.</t>
  </si>
  <si>
    <t>Un mal armado del contenedor (orden incorrecto, placas mal colocadas, tapa mal cerrada) que impactan el mantenimiento térmico.</t>
  </si>
  <si>
    <t>Averías del vehículo, trafico excesivo o desvíos pueden extender el tiempo de transporte más allá de la capacidad térmica validada del contenedor.</t>
  </si>
  <si>
    <t>Acción</t>
  </si>
  <si>
    <t>Regulatorio</t>
  </si>
  <si>
    <t>Pérdida de cadena de frío por falla operativa.</t>
  </si>
  <si>
    <t>Acondicionamiento incorrecto de PCM / gel rígido.</t>
  </si>
  <si>
    <t>Falla del datalogger.</t>
  </si>
  <si>
    <t>Pérdida de cadena de frío durante transporte.</t>
  </si>
  <si>
    <t>Demoras en la entrega por averías del vehículo.</t>
  </si>
  <si>
    <t>Armado incorrecto del contenedor.</t>
  </si>
  <si>
    <t>Uso de materiales vencidos o deteriorados para mantenimiento de cadena de frio.</t>
  </si>
  <si>
    <t>Pérdida de calidad del producto.</t>
  </si>
  <si>
    <t>Proceso o Documento Asociado</t>
  </si>
  <si>
    <t>Riesgo Identificado</t>
  </si>
  <si>
    <t>Análisis del Riesgo (Impacto Potencial)</t>
  </si>
  <si>
    <t>Descripción del Control Existente (Seguimiento)</t>
  </si>
  <si>
    <t>Responsable del Seguimiento</t>
  </si>
  <si>
    <t>Eficacia del Seguimiento</t>
  </si>
  <si>
    <t>Estado del Control</t>
  </si>
  <si>
    <t>ESTADOS DE CONTROL</t>
  </si>
  <si>
    <t>Preventivo</t>
  </si>
  <si>
    <t>Detectivo</t>
  </si>
  <si>
    <t>Correctivo</t>
  </si>
  <si>
    <t>SEGUIMIENTO</t>
  </si>
  <si>
    <t>TIPOS DE CONTROL</t>
  </si>
  <si>
    <t>REFERENCIAS</t>
  </si>
  <si>
    <t>INTERPRETACIÓN DE ESCALA</t>
  </si>
  <si>
    <r>
      <rPr>
        <b/>
        <sz val="8"/>
        <rFont val="Arial"/>
        <family val="2"/>
      </rPr>
      <t>INFORMACIÓN:</t>
    </r>
    <r>
      <rPr>
        <sz val="8"/>
        <rFont val="Arial"/>
        <family val="2"/>
      </rPr>
      <t xml:space="preserve">
Tanto la </t>
    </r>
    <r>
      <rPr>
        <b/>
        <sz val="8"/>
        <rFont val="Arial"/>
        <family val="2"/>
      </rPr>
      <t>Gravedad (G)</t>
    </r>
    <r>
      <rPr>
        <sz val="8"/>
        <rFont val="Arial"/>
        <family val="2"/>
      </rPr>
      <t xml:space="preserve"> como la </t>
    </r>
    <r>
      <rPr>
        <b/>
        <sz val="8"/>
        <rFont val="Arial"/>
        <family val="2"/>
      </rPr>
      <t>Probabilidad (P)</t>
    </r>
    <r>
      <rPr>
        <sz val="8"/>
        <rFont val="Arial"/>
        <family val="2"/>
      </rPr>
      <t xml:space="preserve"> se califican mediante un índice del </t>
    </r>
    <r>
      <rPr>
        <b/>
        <sz val="8"/>
        <rFont val="Arial"/>
        <family val="2"/>
      </rPr>
      <t>1 al 5</t>
    </r>
    <r>
      <rPr>
        <sz val="8"/>
        <rFont val="Arial"/>
        <family val="2"/>
      </rPr>
      <t xml:space="preserve">, donde 1 representa el nivel más bajo y 5 el nivel más alto
de impacto u ocurrencia.
El </t>
    </r>
    <r>
      <rPr>
        <b/>
        <sz val="8"/>
        <rFont val="Arial"/>
        <family val="2"/>
      </rPr>
      <t>nivel de riesgo</t>
    </r>
    <r>
      <rPr>
        <sz val="8"/>
        <rFont val="Arial"/>
        <family val="2"/>
      </rPr>
      <t xml:space="preserve"> se determina multiplicando ambos valores </t>
    </r>
    <r>
      <rPr>
        <b/>
        <sz val="8"/>
        <rFont val="Arial"/>
        <family val="2"/>
      </rPr>
      <t>(P×G)</t>
    </r>
    <r>
      <rPr>
        <sz val="8"/>
        <rFont val="Arial"/>
        <family val="2"/>
      </rPr>
      <t>, lo que permite clasificarlo en una escala cualitativa que va de riesgo leve a
riesgo muy alto, conforme a los rangos definidos en la tabla de interpretación.
El presente instrumento debe revisarse al menos una vez al año o cuando existan cambios relevantes en los procesos, estructuras o requisitos
regulatorios que afecten la evaluación del riesgo.</t>
    </r>
  </si>
  <si>
    <t>Origen / Área Responsable</t>
  </si>
  <si>
    <t>• Cronograma de calibracion.
• Transporte y distribución de productos con cadena de frio.</t>
  </si>
  <si>
    <t>• Preparación de productos con cadena de frio.</t>
  </si>
  <si>
    <t>• Manejo y uso de contenedores refrigerados.</t>
  </si>
  <si>
    <t>• Transporte y distribución de productos con cadena de frio.
• Control de temperatura en furgones</t>
  </si>
  <si>
    <t>• Transporte y distribución de productos con cadena de frio.</t>
  </si>
  <si>
    <t>• Preparación exclusiva en precámara.
• Uso de contenedores calificados.
• Registro de temperaturas según formulario de envio de producto con cadena de frio.</t>
  </si>
  <si>
    <t>• Preacondicionamiento 48h de PCM y gel rígido.
• Verificación con termómetro infrarrojo.
• Inspección antes del armado.</t>
  </si>
  <si>
    <t>• Verificación antes de uso.
• Calibración anual.
• Revisión semanal de descargas de datos.</t>
  </si>
  <si>
    <t>• Registro de temperaturas en salida y entrega.
• Vehículos verificados 1 vez al  año.</t>
  </si>
  <si>
    <t>• Planificación de rutas.
• Mantenimiento del móvil.
• Tiempos máximos de traslado definidos.</t>
  </si>
  <si>
    <t>• Armado según procedimiento de manejo y uso de contenedores refrigerados.
• Inspección visual previa.
• Entrenamiento del personal.</t>
  </si>
  <si>
    <t>• Inspección visual de PCM y geles.
• Control de vigencia y limpieza con alcohol 70% según POE.</t>
  </si>
  <si>
    <t>• Depósito.</t>
  </si>
  <si>
    <t>• Depósito.
• Garantía de Calidad.</t>
  </si>
  <si>
    <t>• Logística.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</si>
</sst>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12"/>
      <name val="Arial"/>
      <family val="2"/>
    </font>
    <font>
      <sz val="8"/>
      <color theme="0"/>
      <name val="Arial"/>
      <family val="2"/>
    </font>
    <font>
      <sz val="8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1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36B7BA"/>
        <bgColor indexed="64"/>
      </patternFill>
    </fill>
    <fill>
      <patternFill patternType="solid">
        <fgColor rgb="FF9BE7B3"/>
        <bgColor indexed="64"/>
      </patternFill>
    </fill>
    <fill>
      <patternFill patternType="solid">
        <fgColor rgb="FFD6E9A3"/>
        <bgColor indexed="64"/>
      </patternFill>
    </fill>
    <fill>
      <patternFill patternType="solid">
        <fgColor rgb="FFF8D569"/>
        <bgColor indexed="64"/>
      </patternFill>
    </fill>
    <fill>
      <patternFill patternType="solid">
        <fgColor rgb="FFF6A96D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5F1F2"/>
        <bgColor indexed="64"/>
      </patternFill>
    </fill>
    <fill>
      <patternFill patternType="solid">
        <fgColor rgb="FFABE6E7"/>
        <bgColor indexed="64"/>
      </patternFill>
    </fill>
    <fill>
      <patternFill patternType="solid">
        <fgColor rgb="FF81D8DA"/>
        <bgColor indexed="64"/>
      </patternFill>
    </fill>
    <fill>
      <patternFill patternType="solid">
        <fgColor rgb="FF28888A"/>
        <bgColor indexed="64"/>
      </patternFill>
    </fill>
    <fill>
      <patternFill patternType="solid">
        <fgColor rgb="FF1B5A5C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5" fillId="3" borderId="6" xfId="0" quotePrefix="1" applyFont="1" applyFill="1" applyBorder="1" applyAlignment="1">
      <alignment horizontal="right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7" xfId="0" quotePrefix="1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4" borderId="6" xfId="0" quotePrefix="1" applyFont="1" applyFill="1" applyBorder="1" applyAlignment="1">
      <alignment horizontal="right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7" xfId="0" quotePrefix="1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right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left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right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right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14" fontId="1" fillId="0" borderId="9" xfId="0" applyNumberFormat="1" applyFont="1" applyBorder="1" applyAlignment="1" applyProtection="1">
      <alignment horizontal="center" vertical="center" wrapText="1"/>
      <protection locked="0"/>
    </xf>
    <xf numFmtId="14" fontId="1" fillId="0" borderId="5" xfId="0" applyNumberFormat="1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0" borderId="5" xfId="0" applyFont="1" applyBorder="1" applyAlignment="1" applyProtection="1">
      <alignment vertical="center" wrapText="1"/>
      <protection locked="0"/>
    </xf>
    <xf numFmtId="0" fontId="9" fillId="0" borderId="5" xfId="0" applyFont="1" applyBorder="1" applyAlignment="1">
      <alignment vertical="center" wrapText="1"/>
    </xf>
    <xf numFmtId="0" fontId="1" fillId="0" borderId="7" xfId="0" applyFont="1" applyBorder="1" applyAlignment="1" applyProtection="1">
      <alignment horizontal="center" vertical="center" wrapText="1"/>
      <protection locked="0"/>
    </xf>
    <xf numFmtId="14" fontId="1" fillId="0" borderId="6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right"/>
    </xf>
    <xf numFmtId="0" fontId="11" fillId="0" borderId="0" xfId="0" applyFont="1" applyAlignment="1">
      <alignment wrapText="1"/>
    </xf>
    <xf numFmtId="0" fontId="10" fillId="9" borderId="0" xfId="0" applyFont="1" applyFill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 readingOrder="1"/>
    </xf>
    <xf numFmtId="0" fontId="10" fillId="10" borderId="15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0" fillId="11" borderId="15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70">
    <dxf>
      <font>
        <color theme="0"/>
      </font>
      <fill>
        <patternFill>
          <bgColor rgb="FFE06666"/>
        </patternFill>
      </fill>
    </dxf>
    <dxf>
      <fill>
        <patternFill>
          <bgColor rgb="FFF8D569"/>
        </patternFill>
      </fill>
    </dxf>
    <dxf>
      <fill>
        <patternFill>
          <bgColor rgb="FFD6E9A3"/>
        </patternFill>
      </fill>
    </dxf>
    <dxf>
      <fill>
        <patternFill>
          <bgColor rgb="FF9BE7B3"/>
        </patternFill>
      </fill>
    </dxf>
    <dxf>
      <font>
        <color theme="0"/>
      </font>
      <fill>
        <patternFill>
          <bgColor rgb="FFE06666"/>
        </patternFill>
      </fill>
    </dxf>
    <dxf>
      <fill>
        <patternFill>
          <bgColor rgb="FFF8D569"/>
        </patternFill>
      </fill>
    </dxf>
    <dxf>
      <fill>
        <patternFill>
          <bgColor rgb="FF9BE7B3"/>
        </patternFill>
      </fill>
    </dxf>
    <dxf>
      <font>
        <color theme="0"/>
      </font>
      <fill>
        <patternFill>
          <bgColor rgb="FFE06666"/>
        </patternFill>
      </fill>
    </dxf>
    <dxf>
      <fill>
        <patternFill>
          <bgColor rgb="FFF6A96D"/>
        </patternFill>
      </fill>
    </dxf>
    <dxf>
      <fill>
        <patternFill>
          <bgColor rgb="FFF8D569"/>
        </patternFill>
      </fill>
    </dxf>
    <dxf>
      <fill>
        <patternFill>
          <bgColor rgb="FFD6E9A3"/>
        </patternFill>
      </fill>
    </dxf>
    <dxf>
      <fill>
        <patternFill>
          <bgColor rgb="FF9BE7B3"/>
        </patternFill>
      </fill>
    </dxf>
    <dxf>
      <font>
        <color theme="0"/>
      </font>
      <fill>
        <patternFill>
          <bgColor rgb="FFE06666"/>
        </patternFill>
      </fill>
    </dxf>
    <dxf>
      <fill>
        <patternFill>
          <bgColor rgb="FFF6A96D"/>
        </patternFill>
      </fill>
    </dxf>
    <dxf>
      <fill>
        <patternFill>
          <bgColor rgb="FFF8D569"/>
        </patternFill>
      </fill>
    </dxf>
    <dxf>
      <fill>
        <patternFill>
          <bgColor rgb="FFD6E9A3"/>
        </patternFill>
      </fill>
    </dxf>
    <dxf>
      <fill>
        <patternFill>
          <bgColor rgb="FF9BE7B3"/>
        </patternFill>
      </fill>
    </dxf>
    <dxf>
      <font>
        <color theme="0"/>
      </font>
      <fill>
        <patternFill>
          <bgColor rgb="FFE06666"/>
        </patternFill>
      </fill>
    </dxf>
    <dxf>
      <fill>
        <patternFill>
          <bgColor rgb="FFF6A96D"/>
        </patternFill>
      </fill>
    </dxf>
    <dxf>
      <fill>
        <patternFill>
          <bgColor rgb="FFF8D569"/>
        </patternFill>
      </fill>
    </dxf>
    <dxf>
      <fill>
        <patternFill>
          <bgColor rgb="FFD6E9A3"/>
        </patternFill>
      </fill>
    </dxf>
    <dxf>
      <fill>
        <patternFill>
          <bgColor rgb="FF9BE7B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border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  <protection locked="1" hidden="0"/>
    </dxf>
    <dxf>
      <fill>
        <patternFill patternType="solid">
          <fgColor theme="0" tint="-0.14999847407452621"/>
          <bgColor theme="0" tint="-0.14999847407452621"/>
        </patternFill>
      </fill>
    </dxf>
    <dxf>
      <border>
        <top style="double">
          <color theme="0" tint="-0.499984740745262"/>
        </top>
      </border>
    </dxf>
    <dxf>
      <font>
        <b/>
        <i val="0"/>
        <color theme="0"/>
      </font>
      <fill>
        <patternFill patternType="solid">
          <fgColor rgb="FF36B7BA"/>
          <bgColor rgb="FF36B7BA"/>
        </patternFill>
      </fill>
      <border>
        <bottom style="medium">
          <color theme="0" tint="-0.499984740745262"/>
        </bottom>
      </border>
    </dxf>
    <dxf>
      <font>
        <color auto="1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1" defaultTableStyle="TableStyleMedium16 2" defaultPivotStyle="PivotStyleLight16">
    <tableStyle name="TableStyleMedium16 2" pivot="0" count="4" xr9:uid="{51E4789D-6B38-4BED-9001-3C23A1CC5E3B}">
      <tableStyleElement type="wholeTable" dxfId="69"/>
      <tableStyleElement type="headerRow" dxfId="68"/>
      <tableStyleElement type="totalRow" dxfId="67"/>
      <tableStyleElement type="firstRowStripe" dxfId="66"/>
    </tableStyle>
  </tableStyles>
  <colors>
    <mruColors>
      <color rgb="FFD6E9A3"/>
      <color rgb="FF28888A"/>
      <color rgb="FF36B7BA"/>
      <color rgb="FF81D8DA"/>
      <color rgb="FFABE6E7"/>
      <color rgb="FFD5F1F2"/>
      <color rgb="FF1B5A5C"/>
      <color rgb="FFF6A96D"/>
      <color rgb="FFF8D569"/>
      <color rgb="FFE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1500181</xdr:colOff>
      <xdr:row>6</xdr:row>
      <xdr:rowOff>6516</xdr:rowOff>
    </xdr:from>
    <xdr:to>
      <xdr:col>12</xdr:col>
      <xdr:colOff>76208</xdr:colOff>
      <xdr:row>14</xdr:row>
      <xdr:rowOff>1353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8C1FD06-A714-4184-A355-C6D9AA365254}"/>
            </a:ext>
          </a:extLst>
        </xdr:cNvPr>
        <xdr:cNvSpPr txBox="1"/>
      </xdr:nvSpPr>
      <xdr:spPr>
        <a:xfrm>
          <a:off x="11101381" y="873291"/>
          <a:ext cx="2909902" cy="1061637"/>
        </a:xfrm>
        <a:prstGeom prst="roundRect">
          <a:avLst>
            <a:gd name="adj" fmla="val 12749"/>
          </a:avLst>
        </a:prstGeom>
        <a:noFill/>
        <a:ln w="19050" cmpd="sng">
          <a:solidFill>
            <a:sysClr val="windowText" lastClr="000000">
              <a:alpha val="97000"/>
            </a:sys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endParaRPr lang="es-MX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57151</xdr:colOff>
      <xdr:row>1</xdr:row>
      <xdr:rowOff>85725</xdr:rowOff>
    </xdr:from>
    <xdr:to>
      <xdr:col>2</xdr:col>
      <xdr:colOff>1150650</xdr:colOff>
      <xdr:row>4</xdr:row>
      <xdr:rowOff>85950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8FF90D-5C25-61BD-5288-95F8A612A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6" y="114300"/>
          <a:ext cx="1664999" cy="4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25582</xdr:colOff>
      <xdr:row>5</xdr:row>
      <xdr:rowOff>60944</xdr:rowOff>
    </xdr:from>
    <xdr:to>
      <xdr:col>1</xdr:col>
      <xdr:colOff>540247</xdr:colOff>
      <xdr:row>8</xdr:row>
      <xdr:rowOff>111686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E90A3AD-E3F5-7DD6-CEDC-60E6353E3F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1" t="5035" r="5409" b="5454"/>
        <a:stretch>
          <a:fillRect/>
        </a:stretch>
      </xdr:blipFill>
      <xdr:spPr>
        <a:xfrm>
          <a:off x="52796" y="697758"/>
          <a:ext cx="514665" cy="507942"/>
        </a:xfrm>
        <a:prstGeom prst="rect">
          <a:avLst/>
        </a:prstGeom>
      </xdr:spPr>
    </xdr:pic>
    <xdr:clientData/>
  </xdr:twoCellAnchor>
  <xdr:twoCellAnchor>
    <xdr:from>
      <xdr:col>2</xdr:col>
      <xdr:colOff>29870</xdr:colOff>
      <xdr:row>6</xdr:row>
      <xdr:rowOff>6516</xdr:rowOff>
    </xdr:from>
    <xdr:to>
      <xdr:col>6</xdr:col>
      <xdr:colOff>885264</xdr:colOff>
      <xdr:row>14</xdr:row>
      <xdr:rowOff>1353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2F061AD2-A8AC-4F4A-AEB4-8F7D0552EC0E}"/>
            </a:ext>
          </a:extLst>
        </xdr:cNvPr>
        <xdr:cNvSpPr txBox="1"/>
      </xdr:nvSpPr>
      <xdr:spPr>
        <a:xfrm>
          <a:off x="634988" y="746104"/>
          <a:ext cx="7153100" cy="1182661"/>
        </a:xfrm>
        <a:prstGeom prst="roundRect">
          <a:avLst>
            <a:gd name="adj" fmla="val 12749"/>
          </a:avLst>
        </a:prstGeom>
        <a:noFill/>
        <a:ln w="19050" cmpd="sng">
          <a:solidFill>
            <a:sysClr val="windowText" lastClr="000000">
              <a:alpha val="97000"/>
            </a:sys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endParaRPr lang="es-MX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3643315</xdr:colOff>
      <xdr:row>6</xdr:row>
      <xdr:rowOff>6516</xdr:rowOff>
    </xdr:from>
    <xdr:to>
      <xdr:col>16</xdr:col>
      <xdr:colOff>79165</xdr:colOff>
      <xdr:row>11</xdr:row>
      <xdr:rowOff>76207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3C3B292-D756-4796-9E52-8F78A678C0E0}"/>
            </a:ext>
          </a:extLst>
        </xdr:cNvPr>
        <xdr:cNvSpPr txBox="1"/>
      </xdr:nvSpPr>
      <xdr:spPr>
        <a:xfrm>
          <a:off x="17578390" y="873291"/>
          <a:ext cx="3427200" cy="755491"/>
        </a:xfrm>
        <a:prstGeom prst="roundRect">
          <a:avLst>
            <a:gd name="adj" fmla="val 12749"/>
          </a:avLst>
        </a:prstGeom>
        <a:noFill/>
        <a:ln w="19050" cmpd="sng">
          <a:solidFill>
            <a:sysClr val="windowText" lastClr="000000">
              <a:alpha val="97000"/>
            </a:sys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endParaRPr lang="es-MX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500061</xdr:colOff>
      <xdr:row>6</xdr:row>
      <xdr:rowOff>6516</xdr:rowOff>
    </xdr:from>
    <xdr:to>
      <xdr:col>18</xdr:col>
      <xdr:colOff>76207</xdr:colOff>
      <xdr:row>12</xdr:row>
      <xdr:rowOff>75516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355C83A-6C1F-4925-99BB-AD9141C433D5}"/>
            </a:ext>
          </a:extLst>
        </xdr:cNvPr>
        <xdr:cNvSpPr txBox="1"/>
      </xdr:nvSpPr>
      <xdr:spPr>
        <a:xfrm>
          <a:off x="21426486" y="873291"/>
          <a:ext cx="1719271" cy="907200"/>
        </a:xfrm>
        <a:prstGeom prst="roundRect">
          <a:avLst>
            <a:gd name="adj" fmla="val 12749"/>
          </a:avLst>
        </a:prstGeom>
        <a:noFill/>
        <a:ln w="19050" cmpd="sng">
          <a:solidFill>
            <a:sysClr val="windowText" lastClr="000000">
              <a:alpha val="97000"/>
            </a:sys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endParaRPr lang="es-MX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C8663-354E-4565-8249-DE32D3EA7950}" name="Tabla1" displayName="Tabla1" ref="B17:U42" headerRowDxfId="65" dataDxfId="63" totalsRowDxfId="61" headerRowBorderDxfId="64" tableBorderDxfId="62" totalsRowBorderDxfId="60">
  <autoFilter ref="B17:U42" xr:uid="{D92C8663-354E-4565-8249-DE32D3EA7950}"/>
  <tableColumns count="20">
    <tableColumn id="1" xr3:uid="{82C2AE16-3954-4E66-95F4-74A057D21119}" name="N.º" totalsRowLabel="Total" dataDxfId="59" totalsRowDxfId="58"/>
    <tableColumn id="4" xr3:uid="{E9AD5B98-63D3-4E58-931B-BC0654AA365C}" name="Entorno de Control" dataDxfId="57"/>
    <tableColumn id="5" xr3:uid="{0BB7A387-1F19-4E10-8D11-30C5EA3315A3}" name="Origen / Área Responsable" dataDxfId="56" totalsRowDxfId="55"/>
    <tableColumn id="6" xr3:uid="{6B5FDA08-B7A2-41F6-8A6E-04464971D4B1}" name="Proceso o Documento Asociado" dataDxfId="54" totalsRowDxfId="53"/>
    <tableColumn id="7" xr3:uid="{1ED0EB2B-1436-4D7E-82B1-D59E13A1FA02}" name="Riesgo Identificado" dataDxfId="52" totalsRowDxfId="51"/>
    <tableColumn id="8" xr3:uid="{96E42C5C-08CC-4F2B-A145-C9DBEE57ACDD}" name="Análisis del Riesgo (Impacto Potencial)" dataDxfId="50" totalsRowDxfId="49"/>
    <tableColumn id="23" xr3:uid="{BCE05599-2051-4F76-BFCF-24596DBA7B5B}" name="Efecto" dataDxfId="48" totalsRowDxfId="47"/>
    <tableColumn id="9" xr3:uid="{E3E216D9-E004-42C9-83B8-6C8AD1CB358C}" name="(G)" dataDxfId="46" totalsRowDxfId="45"/>
    <tableColumn id="10" xr3:uid="{300A9394-E62F-49AE-803A-47A83D7A9124}" name="(P)" dataDxfId="44" totalsRowDxfId="43"/>
    <tableColumn id="11" xr3:uid="{4C81A7BD-5430-400C-A240-59BB8CDBFA0C}" name="(PxG)" dataDxfId="42">
      <calculatedColumnFormula>IF(J18*I18=0,"",J18*I18)</calculatedColumnFormula>
    </tableColumn>
    <tableColumn id="12" xr3:uid="{92A69F30-7A32-44BC-9076-5ECBE295BD2F}" name="Escala de Riesgo" dataDxfId="41" totalsRowDxfId="40">
      <calculatedColumnFormula>IF(K18="","",IF(K18&lt;=4,$L$9,IF(K18&lt;=9,$L$10,IF(K18&lt;=14,$L$11,IF(K18&lt;=19,$L$12,$L$13)))))</calculatedColumnFormula>
    </tableColumn>
    <tableColumn id="2" xr3:uid="{06588F90-86F5-4FE8-91AE-7954B46E6493}" name="Descripción del Control Existente (Seguimiento)" dataDxfId="39" totalsRowDxfId="38"/>
    <tableColumn id="3" xr3:uid="{48EC4516-8FC8-45E5-9F82-D5962DBF5AC6}" name="Tipo de Control" dataDxfId="37" totalsRowDxfId="36"/>
    <tableColumn id="14" xr3:uid="{5AFBFF04-FBAD-4931-8332-4E9DA7417D1E}" name="Responsable del Seguimiento" dataDxfId="35" totalsRowDxfId="34"/>
    <tableColumn id="15" xr3:uid="{C94B3633-3805-4A7D-AD6D-DC5377B52509}" name="Eficacia del Seguimiento" totalsRowFunction="count" dataDxfId="33" totalsRowDxfId="32"/>
    <tableColumn id="19" xr3:uid="{C413A27F-A685-4186-AE02-4FB8BD41F0DD}" name="Versión" dataDxfId="31" totalsRowDxfId="30"/>
    <tableColumn id="22" xr3:uid="{F795070B-494E-4D23-B437-CA501151A847}" name="Estado del Control" dataDxfId="29" totalsRowDxfId="28"/>
    <tableColumn id="16" xr3:uid="{F5FEA976-4741-42D2-9AAB-EE3A1D3A20F9}" name="Acción" dataDxfId="27" totalsRowDxfId="26"/>
    <tableColumn id="20" xr3:uid="{5438A215-E90F-4A2F-91E9-7FCE76DAA520}" name="Fecha de Identificación" dataDxfId="25" totalsRowDxfId="24"/>
    <tableColumn id="21" xr3:uid="{A461951F-6620-46D2-BEC1-E8131367F170}" name="Ultima Revisión" dataDxfId="23" totalsRowDxfId="22"/>
  </tableColumns>
  <tableStyleInfo name="TableStyleMedium16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E19F-0BF8-4F0B-8ED9-AF7F2D30C40F}">
  <sheetPr>
    <pageSetUpPr fitToPage="1"/>
  </sheetPr>
  <dimension ref="A1:U42"/>
  <sheetViews>
    <sheetView showGridLines="0" tabSelected="1" zoomScaleNormal="100" workbookViewId="0">
      <selection activeCell="D3" sqref="D3:S5"/>
    </sheetView>
  </sheetViews>
  <sheetFormatPr baseColWidth="10" defaultColWidth="11.5703125" defaultRowHeight="11.25" x14ac:dyDescent="0.25"/>
  <cols>
    <col min="1" max="1" width="0.42578125" style="2" customWidth="1"/>
    <col min="2" max="2" width="8.5703125" style="44" customWidth="1"/>
    <col min="3" max="4" width="18.5703125" style="45" customWidth="1"/>
    <col min="5" max="6" width="28.5703125" style="45" customWidth="1"/>
    <col min="7" max="7" width="55.7109375" style="45" customWidth="1"/>
    <col min="8" max="8" width="23.5703125" style="45" customWidth="1"/>
    <col min="9" max="9" width="8.5703125" style="45" customWidth="1"/>
    <col min="10" max="11" width="8.5703125" style="44" customWidth="1"/>
    <col min="12" max="12" width="15.7109375" style="1" customWidth="1"/>
    <col min="13" max="13" width="55.7109375" style="1" customWidth="1"/>
    <col min="14" max="14" width="17.7109375" style="1" bestFit="1" customWidth="1"/>
    <col min="15" max="16" width="15.7109375" style="45" customWidth="1"/>
    <col min="17" max="17" width="8.5703125" style="45" customWidth="1"/>
    <col min="18" max="19" width="23.5703125" style="45" customWidth="1"/>
    <col min="20" max="21" width="15.7109375" style="45" customWidth="1"/>
    <col min="22" max="16384" width="11.5703125" style="2"/>
  </cols>
  <sheetData>
    <row r="1" spans="2:21" ht="2.25" customHeight="1" x14ac:dyDescent="0.25">
      <c r="B1" s="1"/>
      <c r="C1" s="2"/>
      <c r="D1" s="2"/>
      <c r="E1" s="2"/>
      <c r="F1" s="2"/>
      <c r="G1" s="2"/>
      <c r="H1" s="2"/>
      <c r="I1" s="2"/>
      <c r="J1" s="1"/>
      <c r="K1" s="1"/>
      <c r="O1" s="2"/>
      <c r="P1" s="2"/>
      <c r="Q1" s="2"/>
      <c r="R1" s="2"/>
      <c r="S1" s="2"/>
      <c r="T1" s="2"/>
      <c r="U1" s="2"/>
    </row>
    <row r="2" spans="2:21" ht="12.75" x14ac:dyDescent="0.25">
      <c r="B2" s="65"/>
      <c r="C2" s="65"/>
      <c r="D2" s="78" t="s">
        <v>12</v>
      </c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0"/>
      <c r="T2" s="5" t="s">
        <v>9</v>
      </c>
      <c r="U2" s="5" t="s">
        <v>10</v>
      </c>
    </row>
    <row r="3" spans="2:21" ht="12.75" x14ac:dyDescent="0.25">
      <c r="B3" s="65"/>
      <c r="C3" s="65"/>
      <c r="D3" s="81" t="s">
        <v>75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3"/>
      <c r="T3" s="5" t="s">
        <v>3</v>
      </c>
      <c r="U3" s="6" t="s">
        <v>6</v>
      </c>
    </row>
    <row r="4" spans="2:21" ht="12.75" x14ac:dyDescent="0.25">
      <c r="B4" s="65"/>
      <c r="C4" s="65"/>
      <c r="D4" s="84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6"/>
      <c r="T4" s="5" t="s">
        <v>4</v>
      </c>
      <c r="U4" s="7" t="s">
        <v>11</v>
      </c>
    </row>
    <row r="5" spans="2:21" ht="12.75" x14ac:dyDescent="0.25">
      <c r="B5" s="65"/>
      <c r="C5" s="65"/>
      <c r="D5" s="87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9"/>
      <c r="T5" s="5" t="s">
        <v>5</v>
      </c>
      <c r="U5" s="6" t="s">
        <v>7</v>
      </c>
    </row>
    <row r="6" spans="2:21" ht="6" customHeight="1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2"/>
      <c r="S6" s="2"/>
      <c r="T6" s="2"/>
      <c r="U6" s="2"/>
    </row>
    <row r="7" spans="2:21" ht="6" customHeight="1" x14ac:dyDescent="0.15">
      <c r="B7" s="4" t="s">
        <v>74</v>
      </c>
      <c r="C7" s="66" t="s">
        <v>124</v>
      </c>
      <c r="D7" s="66"/>
      <c r="E7" s="66"/>
      <c r="F7" s="66"/>
      <c r="G7" s="66"/>
      <c r="H7" s="66"/>
      <c r="I7" s="8"/>
      <c r="J7" s="8"/>
      <c r="K7" s="8"/>
      <c r="L7" s="8"/>
      <c r="M7" s="8"/>
      <c r="N7" s="8"/>
      <c r="O7" s="8"/>
      <c r="P7" s="8"/>
      <c r="Q7" s="9"/>
      <c r="R7" s="2"/>
      <c r="S7" s="2"/>
      <c r="T7" s="2"/>
      <c r="U7" s="2"/>
    </row>
    <row r="8" spans="2:21" ht="24" x14ac:dyDescent="0.15">
      <c r="B8" s="60" t="s">
        <v>80</v>
      </c>
      <c r="C8" s="66"/>
      <c r="D8" s="66"/>
      <c r="E8" s="66"/>
      <c r="F8" s="66"/>
      <c r="G8" s="66"/>
      <c r="H8" s="66"/>
      <c r="I8" s="69" t="s">
        <v>123</v>
      </c>
      <c r="J8" s="70"/>
      <c r="K8" s="70"/>
      <c r="L8" s="71"/>
      <c r="M8" s="50"/>
      <c r="N8" s="10" t="s">
        <v>122</v>
      </c>
      <c r="O8" s="12" t="s">
        <v>121</v>
      </c>
      <c r="P8" s="12" t="s">
        <v>120</v>
      </c>
      <c r="R8" s="11" t="s">
        <v>116</v>
      </c>
      <c r="S8" s="53"/>
      <c r="U8" s="2"/>
    </row>
    <row r="9" spans="2:21" x14ac:dyDescent="0.15">
      <c r="B9" s="4" t="s">
        <v>81</v>
      </c>
      <c r="C9" s="66"/>
      <c r="D9" s="66"/>
      <c r="E9" s="66"/>
      <c r="F9" s="66"/>
      <c r="G9" s="66"/>
      <c r="H9" s="66"/>
      <c r="I9" s="14">
        <v>1</v>
      </c>
      <c r="J9" s="15" t="s">
        <v>16</v>
      </c>
      <c r="K9" s="16">
        <v>4</v>
      </c>
      <c r="L9" s="17" t="s">
        <v>2</v>
      </c>
      <c r="M9" s="51"/>
      <c r="N9" s="13" t="s">
        <v>31</v>
      </c>
      <c r="O9" s="13" t="s">
        <v>117</v>
      </c>
      <c r="P9" s="18" t="s">
        <v>44</v>
      </c>
      <c r="R9" s="17" t="s">
        <v>88</v>
      </c>
      <c r="S9" s="54"/>
      <c r="U9" s="8"/>
    </row>
    <row r="10" spans="2:21" x14ac:dyDescent="0.15">
      <c r="B10" s="4" t="s">
        <v>47</v>
      </c>
      <c r="C10" s="66"/>
      <c r="D10" s="66"/>
      <c r="E10" s="66"/>
      <c r="F10" s="66"/>
      <c r="G10" s="66"/>
      <c r="H10" s="66"/>
      <c r="I10" s="21">
        <v>5</v>
      </c>
      <c r="J10" s="22" t="s">
        <v>16</v>
      </c>
      <c r="K10" s="23">
        <v>9</v>
      </c>
      <c r="L10" s="24" t="s">
        <v>1</v>
      </c>
      <c r="M10" s="20"/>
      <c r="N10" s="20" t="s">
        <v>30</v>
      </c>
      <c r="O10" s="20" t="s">
        <v>118</v>
      </c>
      <c r="P10" s="26" t="s">
        <v>45</v>
      </c>
      <c r="R10" s="52" t="s">
        <v>89</v>
      </c>
      <c r="S10" s="55"/>
      <c r="U10" s="2"/>
    </row>
    <row r="11" spans="2:21" x14ac:dyDescent="0.15">
      <c r="B11" s="4" t="s">
        <v>82</v>
      </c>
      <c r="C11" s="66"/>
      <c r="D11" s="66"/>
      <c r="E11" s="66"/>
      <c r="F11" s="66"/>
      <c r="G11" s="66"/>
      <c r="H11" s="66"/>
      <c r="I11" s="27">
        <v>10</v>
      </c>
      <c r="J11" s="28" t="s">
        <v>16</v>
      </c>
      <c r="K11" s="29">
        <v>14</v>
      </c>
      <c r="L11" s="25" t="s">
        <v>0</v>
      </c>
      <c r="M11" s="51"/>
      <c r="N11" s="13" t="s">
        <v>32</v>
      </c>
      <c r="O11" s="13" t="s">
        <v>119</v>
      </c>
      <c r="P11" s="31" t="s">
        <v>46</v>
      </c>
      <c r="R11" s="25" t="s">
        <v>90</v>
      </c>
      <c r="S11" s="54"/>
      <c r="U11" s="2"/>
    </row>
    <row r="12" spans="2:21" x14ac:dyDescent="0.15">
      <c r="B12" s="4" t="s">
        <v>83</v>
      </c>
      <c r="C12" s="66"/>
      <c r="D12" s="66"/>
      <c r="E12" s="66"/>
      <c r="F12" s="66"/>
      <c r="G12" s="66"/>
      <c r="H12" s="66"/>
      <c r="I12" s="32">
        <v>15</v>
      </c>
      <c r="J12" s="33" t="s">
        <v>16</v>
      </c>
      <c r="K12" s="34">
        <v>19</v>
      </c>
      <c r="L12" s="35" t="s">
        <v>14</v>
      </c>
      <c r="M12" s="19"/>
      <c r="N12" s="20"/>
      <c r="O12" s="19"/>
      <c r="P12" s="19"/>
      <c r="Q12" s="19"/>
      <c r="R12" s="30" t="s">
        <v>91</v>
      </c>
      <c r="S12" s="56"/>
      <c r="T12" s="2"/>
      <c r="U12" s="2"/>
    </row>
    <row r="13" spans="2:21" x14ac:dyDescent="0.15">
      <c r="B13" s="4" t="s">
        <v>100</v>
      </c>
      <c r="C13" s="66"/>
      <c r="D13" s="66"/>
      <c r="E13" s="66"/>
      <c r="F13" s="66"/>
      <c r="G13" s="66"/>
      <c r="H13" s="66"/>
      <c r="I13" s="36">
        <v>20</v>
      </c>
      <c r="J13" s="37" t="s">
        <v>16</v>
      </c>
      <c r="K13" s="38">
        <v>25</v>
      </c>
      <c r="L13" s="30" t="s">
        <v>15</v>
      </c>
      <c r="M13" s="19"/>
      <c r="N13" s="48"/>
      <c r="O13" s="19"/>
      <c r="P13" s="19"/>
      <c r="Q13" s="19"/>
      <c r="R13" s="19"/>
      <c r="S13" s="19"/>
      <c r="T13" s="2"/>
      <c r="U13" s="2"/>
    </row>
    <row r="14" spans="2:21" ht="6" customHeight="1" x14ac:dyDescent="0.15">
      <c r="B14" s="4" t="s">
        <v>85</v>
      </c>
      <c r="C14" s="66"/>
      <c r="D14" s="66"/>
      <c r="E14" s="66"/>
      <c r="F14" s="66"/>
      <c r="G14" s="66"/>
      <c r="H14" s="66"/>
      <c r="I14" s="2"/>
      <c r="J14" s="2"/>
      <c r="K14" s="1"/>
      <c r="O14" s="1"/>
      <c r="P14" s="2"/>
      <c r="Q14" s="2"/>
      <c r="R14" s="2"/>
      <c r="S14" s="2"/>
      <c r="T14" s="2"/>
      <c r="U14" s="2"/>
    </row>
    <row r="15" spans="2:21" ht="6" customHeight="1" x14ac:dyDescent="0.15">
      <c r="B15" s="4" t="s">
        <v>84</v>
      </c>
      <c r="C15" s="2"/>
      <c r="D15" s="2"/>
      <c r="E15" s="2"/>
      <c r="F15" s="2"/>
      <c r="G15" s="2"/>
      <c r="H15" s="2"/>
      <c r="I15" s="2"/>
      <c r="J15" s="2"/>
      <c r="K15" s="1"/>
      <c r="O15" s="1"/>
      <c r="P15" s="2"/>
      <c r="Q15" s="2"/>
      <c r="R15" s="2"/>
      <c r="S15" s="2"/>
      <c r="T15" s="2"/>
      <c r="U15" s="2"/>
    </row>
    <row r="16" spans="2:21" ht="12" x14ac:dyDescent="0.25">
      <c r="B16" s="61" t="s">
        <v>39</v>
      </c>
      <c r="C16" s="61"/>
      <c r="D16" s="61"/>
      <c r="E16" s="61"/>
      <c r="F16" s="62"/>
      <c r="G16" s="67" t="s">
        <v>40</v>
      </c>
      <c r="H16" s="68"/>
      <c r="I16" s="72" t="s">
        <v>41</v>
      </c>
      <c r="J16" s="73"/>
      <c r="K16" s="73"/>
      <c r="L16" s="74"/>
      <c r="M16" s="75" t="s">
        <v>78</v>
      </c>
      <c r="N16" s="76"/>
      <c r="O16" s="76"/>
      <c r="P16" s="77"/>
      <c r="Q16" s="63" t="s">
        <v>77</v>
      </c>
      <c r="R16" s="64"/>
      <c r="S16" s="64"/>
      <c r="T16" s="64"/>
      <c r="U16" s="64"/>
    </row>
    <row r="17" spans="1:21" s="1" customFormat="1" ht="23.25" thickBot="1" x14ac:dyDescent="0.3">
      <c r="B17" s="39" t="s">
        <v>8</v>
      </c>
      <c r="C17" s="39" t="s">
        <v>76</v>
      </c>
      <c r="D17" s="39" t="s">
        <v>125</v>
      </c>
      <c r="E17" s="39" t="s">
        <v>109</v>
      </c>
      <c r="F17" s="39" t="s">
        <v>110</v>
      </c>
      <c r="G17" s="39" t="s">
        <v>111</v>
      </c>
      <c r="H17" s="39" t="s">
        <v>35</v>
      </c>
      <c r="I17" s="39" t="s">
        <v>34</v>
      </c>
      <c r="J17" s="39" t="s">
        <v>33</v>
      </c>
      <c r="K17" s="39" t="s">
        <v>73</v>
      </c>
      <c r="L17" s="39" t="s">
        <v>13</v>
      </c>
      <c r="M17" s="39" t="s">
        <v>112</v>
      </c>
      <c r="N17" s="39" t="s">
        <v>79</v>
      </c>
      <c r="O17" s="39" t="s">
        <v>113</v>
      </c>
      <c r="P17" s="39" t="s">
        <v>114</v>
      </c>
      <c r="Q17" s="39" t="s">
        <v>86</v>
      </c>
      <c r="R17" s="39" t="s">
        <v>115</v>
      </c>
      <c r="S17" s="39" t="s">
        <v>99</v>
      </c>
      <c r="T17" s="39" t="s">
        <v>42</v>
      </c>
      <c r="U17" s="39" t="s">
        <v>43</v>
      </c>
    </row>
    <row r="18" spans="1:21" ht="45" x14ac:dyDescent="0.15">
      <c r="A18" s="59" t="s">
        <v>48</v>
      </c>
      <c r="B18" s="42" t="s">
        <v>17</v>
      </c>
      <c r="C18" s="41" t="s">
        <v>74</v>
      </c>
      <c r="D18" s="43" t="s">
        <v>72</v>
      </c>
      <c r="E18" s="43" t="s">
        <v>127</v>
      </c>
      <c r="F18" s="43" t="s">
        <v>101</v>
      </c>
      <c r="G18" s="43" t="s">
        <v>92</v>
      </c>
      <c r="H18" s="43" t="s">
        <v>108</v>
      </c>
      <c r="I18" s="42">
        <v>5</v>
      </c>
      <c r="J18" s="42">
        <v>1</v>
      </c>
      <c r="K18" s="3">
        <f t="shared" ref="K18:K42" si="0">IF(J18*I18=0,"",J18*I18)</f>
        <v>5</v>
      </c>
      <c r="L18" s="3" t="str">
        <f t="shared" ref="L18:L42" si="1">IF(K18="","",IF(K18&lt;=4,$L$9,IF(K18&lt;=9,$L$10,IF(K18&lt;=14,$L$11,IF(K18&lt;=19,$L$12,$L$13)))))</f>
        <v>Riesgo tolerable</v>
      </c>
      <c r="M18" s="41" t="s">
        <v>131</v>
      </c>
      <c r="N18" s="3" t="s">
        <v>117</v>
      </c>
      <c r="O18" s="43" t="s">
        <v>138</v>
      </c>
      <c r="P18" s="42" t="s">
        <v>44</v>
      </c>
      <c r="Q18" s="42" t="s">
        <v>87</v>
      </c>
      <c r="R18" s="40" t="s">
        <v>88</v>
      </c>
      <c r="S18" s="42" t="s">
        <v>16</v>
      </c>
      <c r="T18" s="46">
        <v>45981</v>
      </c>
      <c r="U18" s="46"/>
    </row>
    <row r="19" spans="1:21" ht="33.75" x14ac:dyDescent="0.15">
      <c r="A19" s="59" t="s">
        <v>49</v>
      </c>
      <c r="B19" s="42" t="s">
        <v>18</v>
      </c>
      <c r="C19" s="41" t="s">
        <v>74</v>
      </c>
      <c r="D19" s="43" t="s">
        <v>72</v>
      </c>
      <c r="E19" s="43" t="s">
        <v>128</v>
      </c>
      <c r="F19" s="43" t="s">
        <v>102</v>
      </c>
      <c r="G19" s="43" t="s">
        <v>93</v>
      </c>
      <c r="H19" s="43" t="s">
        <v>108</v>
      </c>
      <c r="I19" s="42">
        <v>5</v>
      </c>
      <c r="J19" s="42">
        <v>1</v>
      </c>
      <c r="K19" s="3">
        <f t="shared" si="0"/>
        <v>5</v>
      </c>
      <c r="L19" s="3" t="str">
        <f t="shared" si="1"/>
        <v>Riesgo tolerable</v>
      </c>
      <c r="M19" s="49" t="s">
        <v>132</v>
      </c>
      <c r="N19" s="3" t="s">
        <v>117</v>
      </c>
      <c r="O19" s="43" t="s">
        <v>138</v>
      </c>
      <c r="P19" s="42" t="s">
        <v>44</v>
      </c>
      <c r="Q19" s="42" t="s">
        <v>87</v>
      </c>
      <c r="R19" s="40" t="s">
        <v>88</v>
      </c>
      <c r="S19" s="42" t="s">
        <v>16</v>
      </c>
      <c r="T19" s="46">
        <v>45981</v>
      </c>
      <c r="U19" s="46"/>
    </row>
    <row r="20" spans="1:21" ht="33.75" x14ac:dyDescent="0.15">
      <c r="A20" s="59" t="s">
        <v>50</v>
      </c>
      <c r="B20" s="42" t="s">
        <v>19</v>
      </c>
      <c r="C20" s="41" t="s">
        <v>74</v>
      </c>
      <c r="D20" s="43" t="s">
        <v>72</v>
      </c>
      <c r="E20" s="43" t="s">
        <v>126</v>
      </c>
      <c r="F20" s="43" t="s">
        <v>103</v>
      </c>
      <c r="G20" s="43" t="s">
        <v>94</v>
      </c>
      <c r="H20" s="43" t="s">
        <v>108</v>
      </c>
      <c r="I20" s="42">
        <v>5</v>
      </c>
      <c r="J20" s="42">
        <v>1</v>
      </c>
      <c r="K20" s="3">
        <f t="shared" si="0"/>
        <v>5</v>
      </c>
      <c r="L20" s="3" t="str">
        <f t="shared" si="1"/>
        <v>Riesgo tolerable</v>
      </c>
      <c r="M20" s="49" t="s">
        <v>133</v>
      </c>
      <c r="N20" s="3" t="s">
        <v>117</v>
      </c>
      <c r="O20" s="43" t="s">
        <v>139</v>
      </c>
      <c r="P20" s="42" t="s">
        <v>44</v>
      </c>
      <c r="Q20" s="42" t="s">
        <v>87</v>
      </c>
      <c r="R20" s="40" t="s">
        <v>88</v>
      </c>
      <c r="S20" s="42" t="s">
        <v>16</v>
      </c>
      <c r="T20" s="46">
        <v>45981</v>
      </c>
      <c r="U20" s="46"/>
    </row>
    <row r="21" spans="1:21" ht="33.75" x14ac:dyDescent="0.15">
      <c r="A21" s="59" t="s">
        <v>51</v>
      </c>
      <c r="B21" s="42" t="s">
        <v>20</v>
      </c>
      <c r="C21" s="41" t="s">
        <v>74</v>
      </c>
      <c r="D21" s="43" t="s">
        <v>72</v>
      </c>
      <c r="E21" s="43" t="s">
        <v>129</v>
      </c>
      <c r="F21" s="43" t="s">
        <v>104</v>
      </c>
      <c r="G21" s="43" t="s">
        <v>95</v>
      </c>
      <c r="H21" s="43" t="s">
        <v>108</v>
      </c>
      <c r="I21" s="42">
        <v>5</v>
      </c>
      <c r="J21" s="42">
        <v>1</v>
      </c>
      <c r="K21" s="3">
        <f t="shared" si="0"/>
        <v>5</v>
      </c>
      <c r="L21" s="3" t="str">
        <f t="shared" si="1"/>
        <v>Riesgo tolerable</v>
      </c>
      <c r="M21" s="49" t="s">
        <v>134</v>
      </c>
      <c r="N21" s="3" t="s">
        <v>118</v>
      </c>
      <c r="O21" s="43" t="s">
        <v>140</v>
      </c>
      <c r="P21" s="42" t="s">
        <v>44</v>
      </c>
      <c r="Q21" s="42" t="s">
        <v>87</v>
      </c>
      <c r="R21" s="40" t="s">
        <v>88</v>
      </c>
      <c r="S21" s="42" t="s">
        <v>16</v>
      </c>
      <c r="T21" s="46">
        <v>45981</v>
      </c>
      <c r="U21" s="46"/>
    </row>
    <row r="22" spans="1:21" ht="33.75" x14ac:dyDescent="0.15">
      <c r="A22" s="59" t="s">
        <v>52</v>
      </c>
      <c r="B22" s="42" t="s">
        <v>21</v>
      </c>
      <c r="C22" s="41" t="s">
        <v>74</v>
      </c>
      <c r="D22" s="43" t="s">
        <v>72</v>
      </c>
      <c r="E22" s="43" t="s">
        <v>130</v>
      </c>
      <c r="F22" s="43" t="s">
        <v>105</v>
      </c>
      <c r="G22" s="43" t="s">
        <v>98</v>
      </c>
      <c r="H22" s="43" t="s">
        <v>108</v>
      </c>
      <c r="I22" s="42">
        <v>5</v>
      </c>
      <c r="J22" s="42">
        <v>1</v>
      </c>
      <c r="K22" s="3">
        <f t="shared" si="0"/>
        <v>5</v>
      </c>
      <c r="L22" s="3" t="str">
        <f t="shared" si="1"/>
        <v>Riesgo tolerable</v>
      </c>
      <c r="M22" s="49" t="s">
        <v>135</v>
      </c>
      <c r="N22" s="3" t="s">
        <v>117</v>
      </c>
      <c r="O22" s="43" t="s">
        <v>140</v>
      </c>
      <c r="P22" s="42" t="s">
        <v>44</v>
      </c>
      <c r="Q22" s="42" t="s">
        <v>87</v>
      </c>
      <c r="R22" s="40" t="s">
        <v>88</v>
      </c>
      <c r="S22" s="42" t="s">
        <v>16</v>
      </c>
      <c r="T22" s="46">
        <v>45981</v>
      </c>
      <c r="U22" s="46"/>
    </row>
    <row r="23" spans="1:21" ht="45" x14ac:dyDescent="0.15">
      <c r="A23" s="59" t="s">
        <v>53</v>
      </c>
      <c r="B23" s="42" t="s">
        <v>22</v>
      </c>
      <c r="C23" s="41" t="s">
        <v>74</v>
      </c>
      <c r="D23" s="43" t="s">
        <v>72</v>
      </c>
      <c r="E23" s="43" t="s">
        <v>128</v>
      </c>
      <c r="F23" s="43" t="s">
        <v>106</v>
      </c>
      <c r="G23" s="43" t="s">
        <v>97</v>
      </c>
      <c r="H23" s="43" t="s">
        <v>108</v>
      </c>
      <c r="I23" s="42">
        <v>5</v>
      </c>
      <c r="J23" s="42">
        <v>1</v>
      </c>
      <c r="K23" s="3">
        <f t="shared" si="0"/>
        <v>5</v>
      </c>
      <c r="L23" s="3" t="str">
        <f t="shared" si="1"/>
        <v>Riesgo tolerable</v>
      </c>
      <c r="M23" s="49" t="s">
        <v>136</v>
      </c>
      <c r="N23" s="3" t="s">
        <v>117</v>
      </c>
      <c r="O23" s="43" t="s">
        <v>138</v>
      </c>
      <c r="P23" s="42" t="s">
        <v>44</v>
      </c>
      <c r="Q23" s="42" t="s">
        <v>87</v>
      </c>
      <c r="R23" s="40" t="s">
        <v>88</v>
      </c>
      <c r="S23" s="42" t="s">
        <v>16</v>
      </c>
      <c r="T23" s="46">
        <v>45981</v>
      </c>
      <c r="U23" s="46"/>
    </row>
    <row r="24" spans="1:21" ht="33.75" x14ac:dyDescent="0.15">
      <c r="A24" s="59" t="s">
        <v>54</v>
      </c>
      <c r="B24" s="42" t="s">
        <v>23</v>
      </c>
      <c r="C24" s="41" t="s">
        <v>74</v>
      </c>
      <c r="D24" s="43" t="s">
        <v>72</v>
      </c>
      <c r="E24" s="43" t="s">
        <v>128</v>
      </c>
      <c r="F24" s="43" t="s">
        <v>107</v>
      </c>
      <c r="G24" s="43" t="s">
        <v>96</v>
      </c>
      <c r="H24" s="43" t="s">
        <v>108</v>
      </c>
      <c r="I24" s="42">
        <v>5</v>
      </c>
      <c r="J24" s="42">
        <v>1</v>
      </c>
      <c r="K24" s="3">
        <f t="shared" si="0"/>
        <v>5</v>
      </c>
      <c r="L24" s="3" t="str">
        <f t="shared" si="1"/>
        <v>Riesgo tolerable</v>
      </c>
      <c r="M24" s="49" t="s">
        <v>137</v>
      </c>
      <c r="N24" s="3" t="s">
        <v>117</v>
      </c>
      <c r="O24" s="43" t="s">
        <v>138</v>
      </c>
      <c r="P24" s="42" t="s">
        <v>44</v>
      </c>
      <c r="Q24" s="42" t="s">
        <v>87</v>
      </c>
      <c r="R24" s="40" t="s">
        <v>88</v>
      </c>
      <c r="S24" s="42" t="s">
        <v>16</v>
      </c>
      <c r="T24" s="46">
        <v>45981</v>
      </c>
      <c r="U24" s="46">
        <v>45981</v>
      </c>
    </row>
    <row r="25" spans="1:21" x14ac:dyDescent="0.15">
      <c r="A25" s="59" t="s">
        <v>55</v>
      </c>
      <c r="B25" s="42" t="s">
        <v>24</v>
      </c>
      <c r="C25" s="43"/>
      <c r="D25" s="43"/>
      <c r="E25" s="43"/>
      <c r="F25" s="43"/>
      <c r="G25" s="43"/>
      <c r="H25" s="43"/>
      <c r="I25" s="42"/>
      <c r="J25" s="42"/>
      <c r="K25" s="3" t="str">
        <f t="shared" si="0"/>
        <v/>
      </c>
      <c r="L25" s="3" t="str">
        <f t="shared" si="1"/>
        <v/>
      </c>
      <c r="M25" s="49"/>
      <c r="N25" s="3"/>
      <c r="O25" s="42"/>
      <c r="P25" s="42"/>
      <c r="Q25" s="42"/>
      <c r="R25" s="42"/>
      <c r="S25" s="42"/>
      <c r="T25" s="47"/>
      <c r="U25" s="47"/>
    </row>
    <row r="26" spans="1:21" x14ac:dyDescent="0.15">
      <c r="A26" s="59" t="s">
        <v>56</v>
      </c>
      <c r="B26" s="42" t="s">
        <v>25</v>
      </c>
      <c r="C26" s="43"/>
      <c r="D26" s="43"/>
      <c r="E26" s="43"/>
      <c r="F26" s="43"/>
      <c r="G26" s="43"/>
      <c r="H26" s="43"/>
      <c r="I26" s="42"/>
      <c r="J26" s="42"/>
      <c r="K26" s="3" t="str">
        <f t="shared" si="0"/>
        <v/>
      </c>
      <c r="L26" s="3" t="str">
        <f t="shared" si="1"/>
        <v/>
      </c>
      <c r="M26" s="49"/>
      <c r="N26" s="3"/>
      <c r="O26" s="42"/>
      <c r="P26" s="42"/>
      <c r="Q26" s="42"/>
      <c r="R26" s="42"/>
      <c r="S26" s="42"/>
      <c r="T26" s="47"/>
      <c r="U26" s="47"/>
    </row>
    <row r="27" spans="1:21" x14ac:dyDescent="0.15">
      <c r="A27" s="59" t="s">
        <v>57</v>
      </c>
      <c r="B27" s="42" t="s">
        <v>26</v>
      </c>
      <c r="C27" s="43"/>
      <c r="D27" s="43"/>
      <c r="E27" s="43"/>
      <c r="F27" s="43"/>
      <c r="G27" s="43"/>
      <c r="H27" s="43"/>
      <c r="I27" s="42"/>
      <c r="J27" s="42"/>
      <c r="K27" s="3" t="str">
        <f t="shared" si="0"/>
        <v/>
      </c>
      <c r="L27" s="3" t="str">
        <f t="shared" si="1"/>
        <v/>
      </c>
      <c r="M27" s="49"/>
      <c r="N27" s="3"/>
      <c r="O27" s="42"/>
      <c r="P27" s="42"/>
      <c r="Q27" s="42"/>
      <c r="R27" s="42"/>
      <c r="S27" s="42"/>
      <c r="T27" s="47"/>
      <c r="U27" s="47"/>
    </row>
    <row r="28" spans="1:21" x14ac:dyDescent="0.15">
      <c r="A28" s="59" t="s">
        <v>58</v>
      </c>
      <c r="B28" s="42" t="s">
        <v>27</v>
      </c>
      <c r="C28" s="43"/>
      <c r="D28" s="43"/>
      <c r="E28" s="43"/>
      <c r="F28" s="43"/>
      <c r="G28" s="43"/>
      <c r="H28" s="43"/>
      <c r="I28" s="42"/>
      <c r="J28" s="42"/>
      <c r="K28" s="3" t="str">
        <f t="shared" si="0"/>
        <v/>
      </c>
      <c r="L28" s="3" t="str">
        <f t="shared" si="1"/>
        <v/>
      </c>
      <c r="M28" s="49"/>
      <c r="N28" s="3"/>
      <c r="O28" s="42"/>
      <c r="P28" s="42"/>
      <c r="Q28" s="42"/>
      <c r="R28" s="42"/>
      <c r="S28" s="42"/>
      <c r="T28" s="47"/>
      <c r="U28" s="47"/>
    </row>
    <row r="29" spans="1:21" x14ac:dyDescent="0.15">
      <c r="A29" s="59" t="s">
        <v>59</v>
      </c>
      <c r="B29" s="42" t="s">
        <v>28</v>
      </c>
      <c r="C29" s="43"/>
      <c r="D29" s="43"/>
      <c r="E29" s="43"/>
      <c r="F29" s="43"/>
      <c r="G29" s="43"/>
      <c r="H29" s="43"/>
      <c r="I29" s="42"/>
      <c r="J29" s="42"/>
      <c r="K29" s="3" t="str">
        <f t="shared" si="0"/>
        <v/>
      </c>
      <c r="L29" s="3" t="str">
        <f t="shared" si="1"/>
        <v/>
      </c>
      <c r="M29" s="49"/>
      <c r="N29" s="3"/>
      <c r="O29" s="42"/>
      <c r="P29" s="42"/>
      <c r="Q29" s="42"/>
      <c r="R29" s="42"/>
      <c r="S29" s="42"/>
      <c r="T29" s="47"/>
      <c r="U29" s="47"/>
    </row>
    <row r="30" spans="1:21" x14ac:dyDescent="0.15">
      <c r="A30" s="59" t="s">
        <v>60</v>
      </c>
      <c r="B30" s="42" t="s">
        <v>29</v>
      </c>
      <c r="C30" s="43"/>
      <c r="D30" s="43"/>
      <c r="E30" s="43"/>
      <c r="F30" s="43"/>
      <c r="G30" s="43"/>
      <c r="H30" s="43"/>
      <c r="I30" s="42"/>
      <c r="J30" s="42"/>
      <c r="K30" s="3" t="str">
        <f t="shared" si="0"/>
        <v/>
      </c>
      <c r="L30" s="3" t="str">
        <f t="shared" si="1"/>
        <v/>
      </c>
      <c r="M30" s="49"/>
      <c r="N30" s="3"/>
      <c r="O30" s="42"/>
      <c r="P30" s="42"/>
      <c r="Q30" s="42"/>
      <c r="R30" s="42"/>
      <c r="S30" s="42"/>
      <c r="T30" s="47"/>
      <c r="U30" s="47"/>
    </row>
    <row r="31" spans="1:21" x14ac:dyDescent="0.15">
      <c r="A31" s="59" t="s">
        <v>61</v>
      </c>
      <c r="B31" s="42" t="s">
        <v>36</v>
      </c>
      <c r="C31" s="43"/>
      <c r="D31" s="43"/>
      <c r="E31" s="43"/>
      <c r="F31" s="43"/>
      <c r="G31" s="43"/>
      <c r="H31" s="43"/>
      <c r="I31" s="42"/>
      <c r="J31" s="42"/>
      <c r="K31" s="3" t="str">
        <f t="shared" si="0"/>
        <v/>
      </c>
      <c r="L31" s="3" t="str">
        <f t="shared" si="1"/>
        <v/>
      </c>
      <c r="M31" s="49"/>
      <c r="N31" s="3"/>
      <c r="O31" s="42"/>
      <c r="P31" s="42"/>
      <c r="Q31" s="42"/>
      <c r="R31" s="42"/>
      <c r="S31" s="42"/>
      <c r="T31" s="47"/>
      <c r="U31" s="47"/>
    </row>
    <row r="32" spans="1:21" x14ac:dyDescent="0.15">
      <c r="A32" s="59" t="s">
        <v>62</v>
      </c>
      <c r="B32" s="42" t="s">
        <v>37</v>
      </c>
      <c r="C32" s="43"/>
      <c r="D32" s="43"/>
      <c r="E32" s="43"/>
      <c r="F32" s="43"/>
      <c r="G32" s="43"/>
      <c r="H32" s="43"/>
      <c r="I32" s="42"/>
      <c r="J32" s="42"/>
      <c r="K32" s="3" t="str">
        <f t="shared" si="0"/>
        <v/>
      </c>
      <c r="L32" s="3" t="str">
        <f t="shared" si="1"/>
        <v/>
      </c>
      <c r="M32" s="49"/>
      <c r="N32" s="3"/>
      <c r="O32" s="42"/>
      <c r="P32" s="42"/>
      <c r="Q32" s="42"/>
      <c r="R32" s="42"/>
      <c r="S32" s="42"/>
      <c r="T32" s="47"/>
      <c r="U32" s="47"/>
    </row>
    <row r="33" spans="1:21" x14ac:dyDescent="0.15">
      <c r="A33" s="59" t="s">
        <v>63</v>
      </c>
      <c r="B33" s="42" t="s">
        <v>38</v>
      </c>
      <c r="C33" s="43"/>
      <c r="D33" s="43"/>
      <c r="E33" s="43"/>
      <c r="F33" s="43"/>
      <c r="G33" s="43"/>
      <c r="H33" s="43"/>
      <c r="I33" s="42"/>
      <c r="J33" s="42"/>
      <c r="K33" s="3" t="str">
        <f t="shared" si="0"/>
        <v/>
      </c>
      <c r="L33" s="3" t="str">
        <f t="shared" si="1"/>
        <v/>
      </c>
      <c r="M33" s="49"/>
      <c r="N33" s="3"/>
      <c r="O33" s="42"/>
      <c r="P33" s="42"/>
      <c r="Q33" s="42"/>
      <c r="R33" s="42"/>
      <c r="S33" s="42"/>
      <c r="T33" s="47"/>
      <c r="U33" s="47"/>
    </row>
    <row r="34" spans="1:21" x14ac:dyDescent="0.15">
      <c r="A34" s="59" t="s">
        <v>64</v>
      </c>
      <c r="B34" s="57"/>
      <c r="C34" s="43"/>
      <c r="D34" s="43"/>
      <c r="E34" s="43"/>
      <c r="F34" s="43"/>
      <c r="G34" s="43"/>
      <c r="H34" s="43"/>
      <c r="I34" s="42"/>
      <c r="J34" s="42"/>
      <c r="K34" s="3" t="str">
        <f t="shared" si="0"/>
        <v/>
      </c>
      <c r="L34" s="3" t="str">
        <f t="shared" si="1"/>
        <v/>
      </c>
      <c r="M34" s="49"/>
      <c r="N34" s="3"/>
      <c r="O34" s="42"/>
      <c r="P34" s="42"/>
      <c r="Q34" s="42"/>
      <c r="R34" s="42"/>
      <c r="S34" s="42"/>
      <c r="T34" s="47"/>
      <c r="U34" s="58"/>
    </row>
    <row r="35" spans="1:21" x14ac:dyDescent="0.15">
      <c r="A35" s="59" t="s">
        <v>65</v>
      </c>
      <c r="B35" s="57"/>
      <c r="C35" s="43"/>
      <c r="D35" s="43"/>
      <c r="E35" s="43"/>
      <c r="F35" s="43"/>
      <c r="G35" s="43"/>
      <c r="H35" s="43"/>
      <c r="I35" s="42"/>
      <c r="J35" s="42"/>
      <c r="K35" s="3" t="str">
        <f t="shared" si="0"/>
        <v/>
      </c>
      <c r="L35" s="3" t="str">
        <f t="shared" si="1"/>
        <v/>
      </c>
      <c r="M35" s="49"/>
      <c r="N35" s="3"/>
      <c r="O35" s="42"/>
      <c r="P35" s="42"/>
      <c r="Q35" s="42"/>
      <c r="R35" s="42"/>
      <c r="S35" s="42"/>
      <c r="T35" s="47"/>
      <c r="U35" s="58"/>
    </row>
    <row r="36" spans="1:21" x14ac:dyDescent="0.15">
      <c r="A36" s="59" t="s">
        <v>66</v>
      </c>
      <c r="B36" s="57"/>
      <c r="C36" s="43"/>
      <c r="D36" s="43"/>
      <c r="E36" s="43"/>
      <c r="F36" s="43"/>
      <c r="G36" s="43"/>
      <c r="H36" s="43"/>
      <c r="I36" s="42"/>
      <c r="J36" s="42"/>
      <c r="K36" s="3" t="str">
        <f t="shared" si="0"/>
        <v/>
      </c>
      <c r="L36" s="3" t="str">
        <f t="shared" si="1"/>
        <v/>
      </c>
      <c r="M36" s="49"/>
      <c r="N36" s="3"/>
      <c r="O36" s="42"/>
      <c r="P36" s="42"/>
      <c r="Q36" s="42"/>
      <c r="R36" s="42"/>
      <c r="S36" s="42"/>
      <c r="T36" s="47"/>
      <c r="U36" s="58"/>
    </row>
    <row r="37" spans="1:21" x14ac:dyDescent="0.15">
      <c r="A37" s="59" t="s">
        <v>67</v>
      </c>
      <c r="B37" s="57"/>
      <c r="C37" s="43"/>
      <c r="D37" s="43"/>
      <c r="E37" s="43"/>
      <c r="F37" s="43"/>
      <c r="G37" s="43"/>
      <c r="H37" s="43"/>
      <c r="I37" s="42"/>
      <c r="J37" s="42"/>
      <c r="K37" s="3" t="str">
        <f t="shared" si="0"/>
        <v/>
      </c>
      <c r="L37" s="3" t="str">
        <f t="shared" si="1"/>
        <v/>
      </c>
      <c r="M37" s="49"/>
      <c r="N37" s="3"/>
      <c r="O37" s="42"/>
      <c r="P37" s="42"/>
      <c r="Q37" s="42"/>
      <c r="R37" s="42"/>
      <c r="S37" s="42"/>
      <c r="T37" s="47"/>
      <c r="U37" s="58"/>
    </row>
    <row r="38" spans="1:21" x14ac:dyDescent="0.15">
      <c r="A38" s="59" t="s">
        <v>68</v>
      </c>
      <c r="B38" s="57"/>
      <c r="C38" s="43"/>
      <c r="D38" s="43"/>
      <c r="E38" s="43"/>
      <c r="F38" s="43"/>
      <c r="G38" s="43"/>
      <c r="H38" s="43"/>
      <c r="I38" s="42"/>
      <c r="J38" s="42"/>
      <c r="K38" s="3" t="str">
        <f t="shared" si="0"/>
        <v/>
      </c>
      <c r="L38" s="3" t="str">
        <f t="shared" si="1"/>
        <v/>
      </c>
      <c r="M38" s="49"/>
      <c r="N38" s="3"/>
      <c r="O38" s="42"/>
      <c r="P38" s="42"/>
      <c r="Q38" s="42"/>
      <c r="R38" s="42"/>
      <c r="S38" s="42"/>
      <c r="T38" s="47"/>
      <c r="U38" s="58"/>
    </row>
    <row r="39" spans="1:21" x14ac:dyDescent="0.15">
      <c r="A39" s="59" t="s">
        <v>69</v>
      </c>
      <c r="B39" s="57"/>
      <c r="C39" s="43"/>
      <c r="D39" s="43"/>
      <c r="E39" s="43"/>
      <c r="F39" s="43"/>
      <c r="G39" s="43"/>
      <c r="H39" s="43"/>
      <c r="I39" s="42"/>
      <c r="J39" s="42"/>
      <c r="K39" s="3" t="str">
        <f t="shared" si="0"/>
        <v/>
      </c>
      <c r="L39" s="3" t="str">
        <f t="shared" si="1"/>
        <v/>
      </c>
      <c r="M39" s="49"/>
      <c r="N39" s="3"/>
      <c r="O39" s="42"/>
      <c r="P39" s="42"/>
      <c r="Q39" s="42"/>
      <c r="R39" s="42"/>
      <c r="S39" s="42"/>
      <c r="T39" s="47"/>
      <c r="U39" s="58"/>
    </row>
    <row r="40" spans="1:21" x14ac:dyDescent="0.15">
      <c r="A40" s="59" t="s">
        <v>70</v>
      </c>
      <c r="B40" s="57"/>
      <c r="C40" s="43"/>
      <c r="D40" s="43"/>
      <c r="E40" s="43"/>
      <c r="F40" s="43"/>
      <c r="G40" s="43"/>
      <c r="H40" s="43"/>
      <c r="I40" s="42"/>
      <c r="J40" s="42"/>
      <c r="K40" s="3" t="str">
        <f t="shared" si="0"/>
        <v/>
      </c>
      <c r="L40" s="3" t="str">
        <f t="shared" si="1"/>
        <v/>
      </c>
      <c r="M40" s="49"/>
      <c r="N40" s="3"/>
      <c r="O40" s="42"/>
      <c r="P40" s="42"/>
      <c r="Q40" s="42"/>
      <c r="R40" s="42"/>
      <c r="S40" s="42"/>
      <c r="T40" s="47"/>
      <c r="U40" s="58"/>
    </row>
    <row r="41" spans="1:21" x14ac:dyDescent="0.15">
      <c r="A41" s="59" t="s">
        <v>71</v>
      </c>
      <c r="B41" s="57"/>
      <c r="C41" s="43"/>
      <c r="D41" s="43"/>
      <c r="E41" s="43"/>
      <c r="F41" s="43"/>
      <c r="G41" s="43"/>
      <c r="H41" s="43"/>
      <c r="I41" s="42"/>
      <c r="J41" s="42"/>
      <c r="K41" s="3" t="str">
        <f t="shared" si="0"/>
        <v/>
      </c>
      <c r="L41" s="3" t="str">
        <f t="shared" si="1"/>
        <v/>
      </c>
      <c r="M41" s="49"/>
      <c r="N41" s="3"/>
      <c r="O41" s="42"/>
      <c r="P41" s="42"/>
      <c r="Q41" s="42"/>
      <c r="R41" s="42"/>
      <c r="S41" s="42"/>
      <c r="T41" s="47"/>
      <c r="U41" s="58"/>
    </row>
    <row r="42" spans="1:21" x14ac:dyDescent="0.15">
      <c r="A42" s="59" t="s">
        <v>72</v>
      </c>
      <c r="B42" s="57"/>
      <c r="C42" s="43"/>
      <c r="D42" s="43"/>
      <c r="E42" s="43"/>
      <c r="F42" s="43"/>
      <c r="G42" s="43"/>
      <c r="H42" s="43"/>
      <c r="I42" s="42"/>
      <c r="J42" s="42"/>
      <c r="K42" s="3" t="str">
        <f t="shared" si="0"/>
        <v/>
      </c>
      <c r="L42" s="3" t="str">
        <f t="shared" si="1"/>
        <v/>
      </c>
      <c r="M42" s="49"/>
      <c r="N42" s="3"/>
      <c r="O42" s="42"/>
      <c r="P42" s="42"/>
      <c r="Q42" s="42"/>
      <c r="R42" s="42"/>
      <c r="S42" s="42"/>
      <c r="T42" s="47"/>
      <c r="U42" s="58"/>
    </row>
  </sheetData>
  <mergeCells count="10">
    <mergeCell ref="B16:F16"/>
    <mergeCell ref="Q16:U16"/>
    <mergeCell ref="B2:C5"/>
    <mergeCell ref="C7:H14"/>
    <mergeCell ref="G16:H16"/>
    <mergeCell ref="I8:L8"/>
    <mergeCell ref="I16:L16"/>
    <mergeCell ref="M16:P16"/>
    <mergeCell ref="D2:S2"/>
    <mergeCell ref="D3:S5"/>
  </mergeCells>
  <phoneticPr fontId="8" type="noConversion"/>
  <conditionalFormatting sqref="I18:J42">
    <cfRule type="cellIs" dxfId="21" priority="18" operator="equal">
      <formula>1</formula>
    </cfRule>
    <cfRule type="cellIs" dxfId="20" priority="19" operator="equal">
      <formula>2</formula>
    </cfRule>
    <cfRule type="cellIs" dxfId="19" priority="20" operator="equal">
      <formula>3</formula>
    </cfRule>
    <cfRule type="cellIs" dxfId="18" priority="21" operator="equal">
      <formula>4</formula>
    </cfRule>
    <cfRule type="cellIs" dxfId="17" priority="22" operator="equal">
      <formula>5</formula>
    </cfRule>
  </conditionalFormatting>
  <conditionalFormatting sqref="K18:K42">
    <cfRule type="cellIs" dxfId="16" priority="13" operator="between">
      <formula>1</formula>
      <formula>4</formula>
    </cfRule>
    <cfRule type="cellIs" dxfId="15" priority="14" operator="between">
      <formula>5</formula>
      <formula>9</formula>
    </cfRule>
    <cfRule type="cellIs" dxfId="14" priority="15" operator="between">
      <formula>10</formula>
      <formula>14</formula>
    </cfRule>
    <cfRule type="cellIs" dxfId="13" priority="16" operator="between">
      <formula>15</formula>
      <formula>19</formula>
    </cfRule>
    <cfRule type="cellIs" dxfId="12" priority="17" operator="between">
      <formula>20</formula>
      <formula>25</formula>
    </cfRule>
  </conditionalFormatting>
  <conditionalFormatting sqref="L18 N18 L19:N24 M25:N33 L25:L42">
    <cfRule type="cellIs" dxfId="11" priority="8" operator="equal">
      <formula>$L$9</formula>
    </cfRule>
    <cfRule type="cellIs" dxfId="10" priority="9" operator="equal">
      <formula>$L$10</formula>
    </cfRule>
    <cfRule type="cellIs" dxfId="9" priority="10" operator="equal">
      <formula>$L$11</formula>
    </cfRule>
    <cfRule type="cellIs" dxfId="8" priority="11" operator="equal">
      <formula>$L$12</formula>
    </cfRule>
    <cfRule type="cellIs" dxfId="7" priority="12" operator="equal">
      <formula>$L$13</formula>
    </cfRule>
  </conditionalFormatting>
  <conditionalFormatting sqref="O18:P42">
    <cfRule type="cellIs" dxfId="6" priority="41" operator="equal">
      <formula>$P$9</formula>
    </cfRule>
    <cfRule type="cellIs" dxfId="5" priority="42" operator="equal">
      <formula>$P$10</formula>
    </cfRule>
    <cfRule type="cellIs" dxfId="4" priority="43" operator="equal">
      <formula>$P$11</formula>
    </cfRule>
  </conditionalFormatting>
  <conditionalFormatting sqref="R18:R24">
    <cfRule type="cellIs" dxfId="3" priority="1" operator="equal">
      <formula>$R$9</formula>
    </cfRule>
    <cfRule type="cellIs" dxfId="2" priority="53" operator="equal">
      <formula>$R$10</formula>
    </cfRule>
    <cfRule type="cellIs" dxfId="1" priority="54" operator="equal">
      <formula>$R$11</formula>
    </cfRule>
    <cfRule type="cellIs" dxfId="0" priority="55" operator="equal">
      <formula>$R$12</formula>
    </cfRule>
  </conditionalFormatting>
  <dataValidations count="6">
    <dataValidation type="whole" allowBlank="1" showInputMessage="1" showErrorMessage="1" sqref="I18:J42" xr:uid="{57C62D8D-ECCF-419F-BA59-F7BF3033EAD7}">
      <formula1>1</formula1>
      <formula2>5</formula2>
    </dataValidation>
    <dataValidation type="list" allowBlank="1" showInputMessage="1" showErrorMessage="1" sqref="N18:N42" xr:uid="{492B600E-6269-4E3B-917E-37795C9A0599}">
      <formula1>$O$9:$O$11</formula1>
    </dataValidation>
    <dataValidation type="list" allowBlank="1" showInputMessage="1" showErrorMessage="1" sqref="P18:P42" xr:uid="{139506AB-9393-4B1A-9EB5-47C3B2B596A1}">
      <formula1>$P$9:$P$11</formula1>
    </dataValidation>
    <dataValidation type="list" allowBlank="1" showInputMessage="1" showErrorMessage="1" sqref="R18:R42" xr:uid="{A735D9EC-E69E-48CD-BEEB-7BC22BAA510A}">
      <formula1>$R$9:$R$12</formula1>
    </dataValidation>
    <dataValidation type="list" allowBlank="1" showInputMessage="1" showErrorMessage="1" sqref="C18:C42" xr:uid="{EAF4E45F-FFEF-45BE-831F-242F31EEBADB}">
      <formula1>$B$7:$B$15</formula1>
    </dataValidation>
    <dataValidation type="list" allowBlank="1" showInputMessage="1" showErrorMessage="1" sqref="D18:D42" xr:uid="{399282D4-6CBF-4DBF-819A-D3207191EE26}">
      <formula1>$A$18:$A$42</formula1>
    </dataValidation>
  </dataValidations>
  <pageMargins left="0.7" right="0.7" top="0.75" bottom="0.75" header="0.3" footer="0.3"/>
  <pageSetup scale="30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LMM_ORG_04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Auditoria Ofimática</cp:lastModifiedBy>
  <cp:lastPrinted>2025-11-21T11:09:29Z</cp:lastPrinted>
  <dcterms:created xsi:type="dcterms:W3CDTF">2015-06-05T18:19:34Z</dcterms:created>
  <dcterms:modified xsi:type="dcterms:W3CDTF">2025-11-21T19:38:42Z</dcterms:modified>
</cp:coreProperties>
</file>